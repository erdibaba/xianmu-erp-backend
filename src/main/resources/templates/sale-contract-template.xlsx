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5" yWindow="2295" windowWidth="21600" windowHeight="11385" tabRatio="600" firstSheet="0" activeTab="0" autoFilterDateGrouping="1"/>
  </bookViews>
  <sheets>
    <sheet xmlns:r="http://schemas.openxmlformats.org/officeDocument/2006/relationships" name="Table 1" sheetId="1" state="visible" r:id="rId1"/>
  </sheets>
  <definedNames>
    <definedName name="_xlnm.Print_Area" localSheetId="0">'Table 1'!$A$1:$M$21</definedName>
  </definedNames>
  <calcPr calcId="181029" fullCalcOnLoad="1"/>
</workbook>
</file>

<file path=xl/styles.xml><?xml version="1.0" encoding="utf-8"?>
<styleSheet xmlns="http://schemas.openxmlformats.org/spreadsheetml/2006/main">
  <numFmts count="4">
    <numFmt numFmtId="164" formatCode="0.00_ "/>
    <numFmt numFmtId="165" formatCode="&quot;￥&quot;#,##0.00_);[Red]\(&quot;￥&quot;#,##0.00\)"/>
    <numFmt numFmtId="166" formatCode="0.00_);[Red]\(0.00\)"/>
    <numFmt numFmtId="167" formatCode="yyyy/m/d;@"/>
  </numFmts>
  <fonts count="21">
    <font>
      <name val="Times New Roman"/>
      <charset val="204"/>
      <color rgb="FF000000"/>
      <sz val="10"/>
    </font>
    <font>
      <name val="微软雅黑"/>
      <charset val="134"/>
      <family val="2"/>
      <color rgb="FF000000"/>
      <sz val="11"/>
    </font>
    <font>
      <name val="微软雅黑"/>
      <charset val="134"/>
      <family val="2"/>
      <color rgb="FF000000"/>
      <sz val="10"/>
    </font>
    <font>
      <name val="微软雅黑"/>
      <charset val="134"/>
      <family val="2"/>
      <color rgb="FF000000"/>
      <sz val="12"/>
    </font>
    <font>
      <name val="微软雅黑"/>
      <charset val="134"/>
      <family val="2"/>
      <b val="1"/>
      <sz val="16"/>
    </font>
    <font>
      <name val="微软雅黑"/>
      <charset val="134"/>
      <family val="2"/>
      <b val="1"/>
      <color rgb="FF808080"/>
      <sz val="16"/>
    </font>
    <font>
      <name val="微软雅黑"/>
      <charset val="134"/>
      <family val="2"/>
      <b val="1"/>
      <sz val="12"/>
    </font>
    <font>
      <name val="微软雅黑"/>
      <charset val="134"/>
      <b val="1"/>
      <sz val="10"/>
    </font>
    <font>
      <name val="微软雅黑"/>
      <charset val="134"/>
      <family val="2"/>
      <b val="1"/>
      <sz val="10"/>
    </font>
    <font>
      <name val="微软雅黑"/>
      <charset val="134"/>
      <color theme="1"/>
      <sz val="10"/>
    </font>
    <font>
      <name val="微软雅黑"/>
      <charset val="134"/>
      <color theme="1"/>
      <sz val="11"/>
    </font>
    <font>
      <name val="微软雅黑"/>
      <charset val="134"/>
      <family val="2"/>
      <b val="1"/>
      <sz val="11"/>
    </font>
    <font>
      <name val="微软雅黑"/>
      <charset val="134"/>
      <b val="1"/>
      <color theme="1"/>
      <sz val="11"/>
    </font>
    <font>
      <name val="微软雅黑"/>
      <charset val="134"/>
      <family val="2"/>
      <b val="1"/>
      <color rgb="FFFF0000"/>
      <sz val="10"/>
    </font>
    <font>
      <name val="微软雅黑"/>
      <charset val="134"/>
      <b val="1"/>
      <color rgb="FFFF0000"/>
      <sz val="11"/>
    </font>
    <font>
      <name val="微软雅黑"/>
      <charset val="134"/>
      <family val="2"/>
      <b val="1"/>
      <color rgb="FF000000"/>
      <sz val="11"/>
    </font>
    <font>
      <name val="微软雅黑"/>
      <charset val="134"/>
      <family val="2"/>
      <sz val="10"/>
    </font>
    <font>
      <name val="微软雅黑"/>
      <charset val="134"/>
      <b val="1"/>
      <sz val="11"/>
    </font>
    <font>
      <name val="微软雅黑"/>
      <charset val="134"/>
      <sz val="10"/>
    </font>
    <font>
      <name val="微软雅黑"/>
      <charset val="134"/>
      <family val="2"/>
      <b val="1"/>
      <color rgb="FF000000"/>
      <sz val="12"/>
    </font>
    <font>
      <name val="宋体"/>
      <charset val="134"/>
      <family val="3"/>
      <sz val="9"/>
    </font>
  </fonts>
  <fills count="3">
    <fill>
      <patternFill/>
    </fill>
    <fill>
      <patternFill patternType="gray125"/>
    </fill>
    <fill>
      <patternFill patternType="solid">
        <fgColor rgb="FFDAEDF3"/>
        <bgColor indexed="64"/>
      </patternFill>
    </fill>
  </fills>
  <borders count="10">
    <border>
      <left/>
      <right/>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56">
    <xf numFmtId="0" fontId="0" fillId="0" borderId="0" applyAlignment="1" pivotButton="0" quotePrefix="0" xfId="0">
      <alignment horizontal="left" vertical="top"/>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top"/>
    </xf>
    <xf numFmtId="0" fontId="2" fillId="0" borderId="0" applyAlignment="1" pivotButton="0" quotePrefix="0" xfId="0">
      <alignment horizontal="left" vertical="top"/>
    </xf>
    <xf numFmtId="0" fontId="6" fillId="0" borderId="0" applyAlignment="1" pivotButton="0" quotePrefix="0" xfId="0">
      <alignment horizontal="left" vertical="top" wrapText="1"/>
    </xf>
    <xf numFmtId="0" fontId="7"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0" borderId="2" applyAlignment="1" pivotButton="0" quotePrefix="0" xfId="0">
      <alignment horizontal="center" vertical="center"/>
    </xf>
    <xf numFmtId="164" fontId="9" fillId="0" borderId="2" applyAlignment="1" pivotButton="0" quotePrefix="0" xfId="0">
      <alignment horizontal="center" vertical="center"/>
    </xf>
    <xf numFmtId="165" fontId="2" fillId="0" borderId="2" applyAlignment="1" pivotButton="0" quotePrefix="0" xfId="0">
      <alignment horizontal="center" vertical="center"/>
    </xf>
    <xf numFmtId="164" fontId="10" fillId="0" borderId="2" applyAlignment="1" pivotButton="0" quotePrefix="0" xfId="0">
      <alignment horizontal="center" vertical="center"/>
    </xf>
    <xf numFmtId="166" fontId="11" fillId="0" borderId="2" applyAlignment="1" pivotButton="0" quotePrefix="0" xfId="0">
      <alignment horizontal="center" vertical="center"/>
    </xf>
    <xf numFmtId="167" fontId="10" fillId="0" borderId="2" applyAlignment="1" pivotButton="0" quotePrefix="0" xfId="0">
      <alignment horizontal="center" vertical="center"/>
    </xf>
    <xf numFmtId="0" fontId="10" fillId="0" borderId="2" applyAlignment="1" pivotButton="0" quotePrefix="0" xfId="0">
      <alignment horizontal="center" vertical="center"/>
    </xf>
    <xf numFmtId="0" fontId="10" fillId="0" borderId="2" applyAlignment="1" applyProtection="1" pivotButton="0" quotePrefix="0" xfId="0">
      <alignment horizontal="center" vertical="center"/>
      <protection locked="0" hidden="0"/>
    </xf>
    <xf numFmtId="0" fontId="12" fillId="0" borderId="2" applyAlignment="1" applyProtection="1" pivotButton="0" quotePrefix="0" xfId="0">
      <alignment horizontal="center" vertical="center"/>
      <protection locked="0" hidden="0"/>
    </xf>
    <xf numFmtId="0" fontId="13" fillId="0" borderId="2" applyAlignment="1" pivotButton="0" quotePrefix="0" xfId="0">
      <alignment horizontal="center" vertical="center" wrapText="1"/>
    </xf>
    <xf numFmtId="164" fontId="15" fillId="0" borderId="0" applyAlignment="1" pivotButton="0" quotePrefix="0" xfId="0">
      <alignment vertical="center" wrapText="1"/>
    </xf>
    <xf numFmtId="0" fontId="2" fillId="0" borderId="0" applyAlignment="1" pivotButton="0" quotePrefix="0" xfId="0">
      <alignment vertical="top"/>
    </xf>
    <xf numFmtId="0" fontId="16" fillId="0" borderId="2" applyAlignment="1" pivotButton="0" quotePrefix="0" xfId="0">
      <alignment horizontal="center" vertical="center" wrapText="1"/>
    </xf>
    <xf numFmtId="0" fontId="18" fillId="0" borderId="2" applyAlignment="1" pivotButton="0" quotePrefix="0" xfId="0">
      <alignment horizontal="center" vertical="center" wrapText="1"/>
    </xf>
    <xf numFmtId="0" fontId="7" fillId="0" borderId="0" applyAlignment="1" pivotButton="0" quotePrefix="0" xfId="0">
      <alignment vertical="center" wrapText="1"/>
    </xf>
    <xf numFmtId="0" fontId="6" fillId="0" borderId="0" applyAlignment="1" pivotButton="0" quotePrefix="0" xfId="0">
      <alignment horizontal="center" vertical="top" wrapText="1"/>
    </xf>
    <xf numFmtId="0" fontId="15" fillId="0" borderId="2" applyAlignment="1" pivotButton="0" quotePrefix="0" xfId="0">
      <alignment horizontal="center" vertical="center" wrapText="1"/>
    </xf>
    <xf numFmtId="0" fontId="15" fillId="0" borderId="2" applyAlignment="1" pivotButton="0" quotePrefix="0" xfId="0">
      <alignment horizontal="center" vertical="center"/>
    </xf>
    <xf numFmtId="9" fontId="15" fillId="0" borderId="2" applyAlignment="1" pivotButton="0" quotePrefix="0" xfId="0">
      <alignment horizontal="center" vertical="center"/>
    </xf>
    <xf numFmtId="0" fontId="17" fillId="0" borderId="0"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0" applyAlignment="1" pivotButton="0" quotePrefix="0" xfId="0">
      <alignment horizontal="center" vertical="top" wrapText="1"/>
    </xf>
    <xf numFmtId="0" fontId="6" fillId="0" borderId="0" applyAlignment="1" pivotButton="0" quotePrefix="0" xfId="0">
      <alignment horizontal="left" vertical="top" wrapText="1"/>
    </xf>
    <xf numFmtId="166" fontId="14" fillId="0" borderId="2" applyAlignment="1" pivotButton="0" quotePrefix="0" xfId="0">
      <alignment horizontal="center" vertical="center" wrapText="1"/>
    </xf>
    <xf numFmtId="166" fontId="17"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6" fillId="0" borderId="0" applyAlignment="1" pivotButton="0" quotePrefix="0" xfId="0">
      <alignment horizontal="center" vertical="top" wrapText="1"/>
    </xf>
    <xf numFmtId="0" fontId="15" fillId="0" borderId="2" applyAlignment="1" pivotButton="0" quotePrefix="0" xfId="0">
      <alignment horizontal="center" vertical="center"/>
    </xf>
    <xf numFmtId="10" fontId="15" fillId="0" borderId="2" applyAlignment="1" pivotButton="0" quotePrefix="0" xfId="0">
      <alignment horizontal="center" vertical="center"/>
    </xf>
    <xf numFmtId="0" fontId="17" fillId="0" borderId="0" applyAlignment="1" pivotButton="0" quotePrefix="0" xfId="0">
      <alignment horizontal="left" vertical="center" wrapText="1"/>
    </xf>
    <xf numFmtId="0" fontId="17" fillId="0" borderId="0" applyAlignment="1" pivotButton="0" quotePrefix="0" xfId="0">
      <alignment horizontal="center" vertical="center" wrapText="1"/>
    </xf>
    <xf numFmtId="0" fontId="17" fillId="0" borderId="0" applyAlignment="1" pivotButton="0" quotePrefix="1" xfId="0">
      <alignment horizontal="left" vertical="center" wrapText="1"/>
    </xf>
    <xf numFmtId="0" fontId="19" fillId="0" borderId="0" applyAlignment="1" pivotButton="0" quotePrefix="0" xfId="0">
      <alignment horizontal="center" vertical="top" wrapText="1"/>
    </xf>
    <xf numFmtId="0" fontId="15" fillId="0" borderId="2" applyAlignment="1" pivotButton="0" quotePrefix="0" xfId="0">
      <alignment horizontal="center" vertical="center" wrapText="1"/>
    </xf>
    <xf numFmtId="0" fontId="0" fillId="0" borderId="0" pivotButton="0" quotePrefix="0" xfId="0"/>
    <xf numFmtId="0" fontId="0" fillId="0" borderId="1" pivotButton="0" quotePrefix="0" xfId="0"/>
    <xf numFmtId="164" fontId="9" fillId="0" borderId="2" applyAlignment="1" pivotButton="0" quotePrefix="0" xfId="0">
      <alignment horizontal="center" vertical="center"/>
    </xf>
    <xf numFmtId="165" fontId="2" fillId="0" borderId="2" applyAlignment="1" pivotButton="0" quotePrefix="0" xfId="0">
      <alignment horizontal="center" vertical="center"/>
    </xf>
    <xf numFmtId="164" fontId="10" fillId="0" borderId="2" applyAlignment="1" pivotButton="0" quotePrefix="0" xfId="0">
      <alignment horizontal="center" vertical="center"/>
    </xf>
    <xf numFmtId="166" fontId="11" fillId="0" borderId="2" applyAlignment="1" pivotButton="0" quotePrefix="0" xfId="0">
      <alignment horizontal="center" vertical="center"/>
    </xf>
    <xf numFmtId="167" fontId="10" fillId="0" borderId="2" applyAlignment="1" pivotButton="0" quotePrefix="0" xfId="0">
      <alignment horizontal="center" vertical="center"/>
    </xf>
    <xf numFmtId="166" fontId="14" fillId="0" borderId="2" applyAlignment="1" pivotButton="0" quotePrefix="0" xfId="0">
      <alignment horizontal="center" vertical="center" wrapText="1"/>
    </xf>
    <xf numFmtId="0" fontId="0" fillId="0" borderId="9" pivotButton="0" quotePrefix="0" xfId="0"/>
    <xf numFmtId="0" fontId="0" fillId="0" borderId="8" pivotButton="0" quotePrefix="0" xfId="0"/>
    <xf numFmtId="164" fontId="15" fillId="0" borderId="0" applyAlignment="1" pivotButton="0" quotePrefix="0" xfId="0">
      <alignment vertical="center" wrapText="1"/>
    </xf>
    <xf numFmtId="166" fontId="17" fillId="0" borderId="2"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常规"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0</col>
      <colOff>967105</colOff>
      <row>0</row>
      <rowOff>957580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967105" cy="95758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R21"/>
  <sheetViews>
    <sheetView tabSelected="1" zoomScale="90" zoomScaleNormal="90" workbookViewId="0">
      <selection activeCell="O4" sqref="O4"/>
    </sheetView>
  </sheetViews>
  <sheetFormatPr baseColWidth="8" defaultColWidth="9" defaultRowHeight="16.5"/>
  <cols>
    <col width="18" customWidth="1" style="4" min="1" max="1"/>
    <col width="8.6640625" customWidth="1" style="4" min="2" max="2"/>
    <col width="17.1640625" customWidth="1" style="4" min="3" max="3"/>
    <col width="12.83203125" customWidth="1" style="4" min="4" max="4"/>
    <col width="20.33203125" customWidth="1" style="4" min="5" max="5"/>
    <col width="10.83203125" customWidth="1" style="4" min="6" max="6"/>
    <col width="11.33203125" customWidth="1" style="4" min="7" max="7"/>
    <col width="11.83203125" customWidth="1" style="4" min="8" max="8"/>
    <col width="14.6640625" customWidth="1" style="4" min="9" max="9"/>
    <col width="15.33203125" customWidth="1" style="4" min="10" max="10"/>
    <col width="14.83203125" customWidth="1" style="4" min="11" max="11"/>
    <col width="17" customWidth="1" style="4" min="12" max="12"/>
    <col width="28.83203125" customWidth="1" style="4" min="13" max="13"/>
    <col width="9.83203125" customWidth="1" style="4" min="14" max="14"/>
    <col width="17.33203125" customWidth="1" style="4" min="15" max="15"/>
    <col width="14.1640625" customWidth="1" style="4" min="16" max="16"/>
    <col width="17.33203125" customWidth="1" style="4" min="17" max="17"/>
    <col width="15.1640625" customWidth="1" style="4" min="18" max="18"/>
    <col width="9" customWidth="1" style="4" min="19" max="16384"/>
  </cols>
  <sheetData>
    <row r="1" ht="84" customHeight="1" s="42">
      <c r="A1" s="28" t="inlineStr">
        <is>
          <t xml:space="preserve"> 天津鲜牧食品科技有限公司
                     销 售 合 同          签订日期：2026/5/5</t>
        </is>
      </c>
      <c r="B1" s="43" t="n"/>
      <c r="C1" s="43" t="n"/>
      <c r="D1" s="43" t="n"/>
      <c r="E1" s="43" t="n"/>
      <c r="F1" s="43" t="n"/>
      <c r="G1" s="43" t="n"/>
      <c r="H1" s="43" t="n"/>
      <c r="I1" s="43" t="n"/>
      <c r="J1" s="43" t="n"/>
      <c r="K1" s="43" t="n"/>
      <c r="L1" s="43" t="n"/>
      <c r="M1" s="43" t="n"/>
      <c r="N1" s="29" t="n"/>
    </row>
    <row r="2" ht="156" customHeight="1" s="42">
      <c r="A2" s="30" t="inlineStr">
        <is>
          <t>甲方：天津鲜牧食品科技有限公司
乙方：
   甲、乙双方经友好协商，在平等自愿的基础上，本着互惠互利的原則，就乙方向甲方购买如下商品的有关事宜 ，订立本合同，达成如下条款, 由双方共同恪守。本合同一式两份，双方各一份，自双方签字盖章后生效。
一.   产品名称、规格包装、单价、数量、金额：</t>
        </is>
      </c>
    </row>
    <row r="3" ht="49.5" customHeight="1" s="42">
      <c r="A3" s="6" t="inlineStr">
        <is>
          <t>合同号</t>
        </is>
      </c>
      <c r="B3" s="7" t="inlineStr">
        <is>
          <t>厂号</t>
        </is>
      </c>
      <c r="C3" s="7" t="inlineStr">
        <is>
          <t>柜号</t>
        </is>
      </c>
      <c r="D3" s="7" t="inlineStr">
        <is>
          <t>产品编码</t>
        </is>
      </c>
      <c r="E3" s="6" t="inlineStr">
        <is>
          <t>货物名称</t>
        </is>
      </c>
      <c r="F3" s="6" t="inlineStr">
        <is>
          <t>件数</t>
        </is>
      </c>
      <c r="G3" s="6" t="inlineStr">
        <is>
          <t>数量/千克</t>
        </is>
      </c>
      <c r="H3" s="6" t="inlineStr">
        <is>
          <t>销售价
（元/千克）</t>
        </is>
      </c>
      <c r="I3" s="6" t="inlineStr">
        <is>
          <t>货款金额</t>
        </is>
      </c>
      <c r="J3" s="6" t="inlineStr">
        <is>
          <t>税款金额</t>
        </is>
      </c>
      <c r="K3" s="6" t="inlineStr">
        <is>
          <t>金额（元）</t>
        </is>
      </c>
      <c r="L3" s="6" t="inlineStr">
        <is>
          <t>港口/冷库</t>
        </is>
      </c>
      <c r="M3" s="6" t="inlineStr">
        <is>
          <t>预计到港时间</t>
        </is>
      </c>
    </row>
    <row r="4" ht="20.1" customFormat="1" customHeight="1" s="1">
      <c r="A4" s="8" t="n"/>
      <c r="B4" s="8" t="n"/>
      <c r="C4" s="8" t="n"/>
      <c r="D4" s="8" t="n"/>
      <c r="E4" s="8" t="n"/>
      <c r="F4" s="8" t="n"/>
      <c r="G4" s="44" t="n"/>
      <c r="H4" s="45" t="n"/>
      <c r="I4" s="46">
        <f>K4/1.09</f>
        <v/>
      </c>
      <c r="J4" s="46">
        <f>I4*0.09</f>
        <v/>
      </c>
      <c r="K4" s="47">
        <f>G4*H4</f>
        <v/>
      </c>
      <c r="L4" s="48" t="n"/>
      <c r="M4" s="48" t="n"/>
      <c r="P4" s="1" t="inlineStr">
        <is>
          <t xml:space="preserve"> </t>
        </is>
      </c>
    </row>
    <row r="5" ht="20.1" customFormat="1" customHeight="1" s="2">
      <c r="A5" s="14" t="n"/>
      <c r="B5" s="14" t="n"/>
      <c r="C5" s="15" t="n"/>
      <c r="D5" s="15" t="n"/>
      <c r="E5" s="16" t="inlineStr">
        <is>
          <t>合计：</t>
        </is>
      </c>
      <c r="F5" s="16">
        <f>SUM(F4:F4)</f>
        <v/>
      </c>
      <c r="G5" s="16">
        <f>SUM(G4:G4)</f>
        <v/>
      </c>
      <c r="H5" s="45" t="n"/>
      <c r="I5" s="45" t="n"/>
      <c r="J5" s="45" t="n"/>
      <c r="K5" s="16">
        <f>SUM(K4:K4)</f>
        <v/>
      </c>
      <c r="L5" s="15" t="n"/>
      <c r="M5" s="14" t="n"/>
    </row>
    <row r="6" ht="18.95" customFormat="1" customHeight="1" s="2">
      <c r="A6" s="17" t="inlineStr">
        <is>
          <t>备注</t>
        </is>
      </c>
      <c r="B6" s="49" t="inlineStr">
        <is>
          <t>开票名称以报关单位为准，具体交货数量和结算金额以实际发生为准</t>
        </is>
      </c>
      <c r="C6" s="50" t="n"/>
      <c r="D6" s="50" t="n"/>
      <c r="E6" s="50" t="n"/>
      <c r="F6" s="50" t="n"/>
      <c r="G6" s="50" t="n"/>
      <c r="H6" s="50" t="n"/>
      <c r="I6" s="50" t="n"/>
      <c r="J6" s="50" t="n"/>
      <c r="K6" s="50" t="n"/>
      <c r="L6" s="50" t="n"/>
      <c r="M6" s="51" t="n"/>
      <c r="N6" s="52" t="n"/>
      <c r="O6" s="19" t="n"/>
      <c r="P6" s="4" t="n"/>
      <c r="Q6" s="4" t="n"/>
      <c r="R6" s="4" t="n"/>
    </row>
    <row r="7" ht="20.1" customHeight="1" s="42">
      <c r="A7" s="20" t="inlineStr">
        <is>
          <t>合计金额/元：</t>
        </is>
      </c>
      <c r="B7" s="53">
        <f>K5</f>
        <v/>
      </c>
      <c r="C7" s="50" t="n"/>
      <c r="D7" s="50" t="n"/>
      <c r="E7" s="50" t="n"/>
      <c r="F7" s="50" t="n"/>
      <c r="G7" s="50" t="n"/>
      <c r="H7" s="50" t="n"/>
      <c r="I7" s="50" t="n"/>
      <c r="J7" s="50" t="n"/>
      <c r="K7" s="50" t="n"/>
      <c r="L7" s="50" t="n"/>
      <c r="M7" s="51" t="n"/>
      <c r="N7" s="52" t="n"/>
      <c r="O7" s="19" t="n"/>
    </row>
    <row r="8" ht="20.1" customHeight="1" s="42">
      <c r="A8" s="21" t="inlineStr">
        <is>
          <t>大写金额：</t>
        </is>
      </c>
      <c r="B8" s="33">
        <f>IF(TRUNC(B7)=0,"",TEXT(TRUNC(B7),"[DBNum2]G/通用格式")&amp;"元")&amp;IF(TRUNC(B7*10)-TRUNC(B7*10,-1)=0,IF(TRUNC(B7*100)-TRUNC(B7*100,-1)&lt;&gt;0,"零",""),TEXT(TRUNC(B7*10)-TRUNC(B7*10,-1),"[DBNum2]G/通用格式")&amp;"角")&amp;IF(TRUNC(B7*100)-TRUNC(B7*100,-1)=0,"",TEXT(TRUNC(B7*100)-TRUNC(B7*100,-1),"[DBNum2]G/通用格式")&amp;"分")&amp;IF(TRUNC(B7*100)-TRUNC(B7*100,-1)=0,"整","")</f>
        <v/>
      </c>
      <c r="C8" s="50" t="n"/>
      <c r="D8" s="50" t="n"/>
      <c r="E8" s="50" t="n"/>
      <c r="F8" s="50" t="n"/>
      <c r="G8" s="50" t="n"/>
      <c r="H8" s="50" t="n"/>
      <c r="I8" s="50" t="n"/>
      <c r="J8" s="50" t="n"/>
      <c r="K8" s="50" t="n"/>
      <c r="L8" s="50" t="n"/>
      <c r="M8" s="51" t="n"/>
      <c r="N8" s="22" t="n"/>
      <c r="O8" s="19" t="n"/>
    </row>
    <row r="9" ht="408.95" customFormat="1" customHeight="1" s="3">
      <c r="A9" s="30" t="inlineStr">
        <is>
          <t xml:space="preserve">二.  质量要求标准：
1，甲方所提供商品为符合中华人民共和国国家质量监督检验检疫总局 《进出口肉类产品检验检疫监督管理办法 》中的肉类企业检验检疫准入名单的产品。
2，甲方提供的原料肉类产品符合中国中华人民共和国国家质量监督检验检疫总局的检验检疫标准 。
3.甲方负责为乙方提供该批货物的入境检验检疫合格证明 等与检疫有关的文件 。
4，乙方收货时应对产品的品种，规格，数量当场验收，确认无误后由提货人签字确认。
5，乙方收货后，非因甲方原因造成的产品质量问题，而是乙方在储藏和使用过程中出现的质量问题 ，由乙方自行负责。
6，如货物发生质量问题，乙方须在装车提货后五天内向甲方出具书面证明 ，甲方七天之内视情况给予解决。
三．结算方式：合同签订后24小时内，乙方需按照合同规定将预付款或者全部货款汇入甲方账户 。待乙方付清全部货款后方可提货，否则无权要求甲方发货。
四、提货标准：
1、收费标准见细则十一；
2、货物未在规定时间内提走和付款的，由此导致货物落价、抛单及其他产生的损失，由乙方承担全部责任，对应货物预付款不予退还。
五、运输方式：乙方自提货,由于运输不当造成的解冻或其他问题由乙方负责 。
六、本合同在履行过程中发生争议，由双方协商解决。协商不成，向甲方所在地人民法院提起诉讼。
七、本合同未尽事项，经双方友好协商解决。
八、本合同自双方执行完此合同交易内容后终止 ；
九、本合同需在24小时之内签字或盖章回传，否则将影响后期提货速度，由此产生的后果将由乙方自行承担  。
十、本合同需在签订后24小时之内，将预付款或全款汇入甲方账户，逾期合同自动作废。
</t>
        </is>
      </c>
      <c r="N9" s="34" t="n"/>
    </row>
    <row r="10" ht="21" customFormat="1" customHeight="1" s="3">
      <c r="A10" s="40" t="inlineStr">
        <is>
          <t>十一、收费标准</t>
        </is>
      </c>
      <c r="B10" s="41" t="inlineStr">
        <is>
          <t>现货提货标准</t>
        </is>
      </c>
      <c r="C10" s="35" t="inlineStr">
        <is>
          <t>库费收费标准</t>
        </is>
      </c>
      <c r="D10" s="35" t="n"/>
      <c r="E10" s="35" t="inlineStr">
        <is>
          <t>资金利息收费标准</t>
        </is>
      </c>
      <c r="F10" s="50" t="n"/>
      <c r="G10" s="50" t="n"/>
      <c r="H10" s="51" t="n"/>
      <c r="I10" s="30" t="n"/>
      <c r="J10" s="30" t="n"/>
      <c r="K10" s="30" t="n"/>
      <c r="L10" s="30" t="n"/>
      <c r="M10" s="30" t="n"/>
      <c r="N10" s="34" t="n"/>
      <c r="O10" s="34" t="n"/>
    </row>
    <row r="11" ht="21" customFormat="1" customHeight="1" s="3">
      <c r="B11" s="54" t="n"/>
      <c r="C11" s="41" t="inlineStr">
        <is>
          <t>冷库收费标准
（减免7天）</t>
        </is>
      </c>
      <c r="D11" s="41" t="n"/>
      <c r="E11" s="35" t="inlineStr">
        <is>
          <t>我司减免天数</t>
        </is>
      </c>
      <c r="F11" s="35" t="inlineStr">
        <is>
          <t>8-30天内（含30天）</t>
        </is>
      </c>
      <c r="G11" s="51" t="n"/>
      <c r="H11" s="35" t="inlineStr">
        <is>
          <t>30天以上</t>
        </is>
      </c>
      <c r="I11" s="30" t="n"/>
      <c r="J11" s="30" t="n"/>
      <c r="K11" s="30" t="n"/>
      <c r="L11" s="30" t="n"/>
      <c r="M11" s="30" t="n"/>
      <c r="N11" s="34" t="n"/>
      <c r="O11" s="34" t="n"/>
    </row>
    <row r="12" ht="21" customFormat="1" customHeight="1" s="3">
      <c r="B12" s="55" t="n"/>
      <c r="C12" s="55" t="n"/>
      <c r="D12" s="35" t="n"/>
      <c r="E12" s="35" t="n">
        <v>7</v>
      </c>
      <c r="F12" s="36" t="n">
        <v>0.096</v>
      </c>
      <c r="G12" s="51" t="n"/>
      <c r="H12" s="26" t="n">
        <v>0.18</v>
      </c>
      <c r="I12" s="30" t="n"/>
      <c r="J12" s="30" t="n"/>
      <c r="K12" s="30" t="n"/>
      <c r="L12" s="30" t="n"/>
      <c r="M12" s="30" t="n"/>
      <c r="N12" s="34" t="n"/>
      <c r="O12" s="34" t="n"/>
    </row>
    <row r="13" ht="21" customFormat="1" customHeight="1" s="3">
      <c r="B13" s="41" t="inlineStr">
        <is>
          <t>期货提货时间</t>
        </is>
      </c>
      <c r="C13" s="35" t="inlineStr">
        <is>
          <t>库费收费标准</t>
        </is>
      </c>
      <c r="D13" s="35" t="n"/>
      <c r="E13" s="35" t="inlineStr">
        <is>
          <t>资金利息收费标准</t>
        </is>
      </c>
      <c r="F13" s="50" t="n"/>
      <c r="G13" s="50" t="n"/>
      <c r="H13" s="51" t="n"/>
      <c r="I13" s="30" t="n"/>
      <c r="J13" s="30" t="n"/>
      <c r="K13" s="30" t="n"/>
      <c r="L13" s="30" t="n"/>
      <c r="M13" s="30" t="n"/>
      <c r="N13" s="34" t="n"/>
      <c r="O13" s="34" t="n"/>
    </row>
    <row r="14" ht="21" customFormat="1" customHeight="1" s="3">
      <c r="B14" s="54" t="n"/>
      <c r="C14" s="35" t="inlineStr">
        <is>
          <t>冷库收费标准</t>
        </is>
      </c>
      <c r="D14" s="35" t="n"/>
      <c r="E14" s="35" t="inlineStr">
        <is>
          <t>我司减免天数</t>
        </is>
      </c>
      <c r="F14" s="35" t="inlineStr">
        <is>
          <t>1-90天内（含90天）</t>
        </is>
      </c>
      <c r="G14" s="51" t="n"/>
      <c r="H14" s="35" t="inlineStr">
        <is>
          <t>90天以上</t>
        </is>
      </c>
      <c r="I14" s="30" t="n"/>
      <c r="J14" s="30" t="n"/>
      <c r="K14" s="30" t="n"/>
      <c r="L14" s="30" t="n"/>
      <c r="M14" s="30" t="n"/>
      <c r="N14" s="34" t="n"/>
      <c r="O14" s="34" t="n"/>
    </row>
    <row r="15" ht="21" customFormat="1" customHeight="1" s="3">
      <c r="B15" s="55" t="n"/>
      <c r="C15" s="55" t="n"/>
      <c r="D15" s="35" t="n"/>
      <c r="E15" s="35" t="inlineStr">
        <is>
          <t>-</t>
        </is>
      </c>
      <c r="F15" s="36" t="n">
        <v>0.08400000000000001</v>
      </c>
      <c r="G15" s="51" t="n"/>
      <c r="H15" s="26" t="n">
        <v>0.18</v>
      </c>
      <c r="I15" s="30" t="n"/>
      <c r="J15" s="30" t="n"/>
      <c r="K15" s="30" t="n"/>
      <c r="L15" s="30" t="n"/>
      <c r="M15" s="30" t="n"/>
      <c r="N15" s="34" t="n"/>
      <c r="O15" s="34" t="n"/>
    </row>
    <row r="16" ht="24.95" customHeight="1" s="42">
      <c r="A16" s="37" t="inlineStr">
        <is>
          <t>甲方：</t>
        </is>
      </c>
      <c r="B16" s="37" t="inlineStr">
        <is>
          <t>天津鲜牧食品科技有限公司</t>
        </is>
      </c>
      <c r="H16" s="37" t="inlineStr">
        <is>
          <t xml:space="preserve">           乙方:</t>
        </is>
      </c>
      <c r="N16" s="38" t="n"/>
    </row>
    <row r="17" ht="24.95" customHeight="1" s="42">
      <c r="A17" s="37" t="inlineStr">
        <is>
          <t>账户名：</t>
        </is>
      </c>
      <c r="B17" s="37" t="inlineStr">
        <is>
          <t>天津鲜牧食品科技有限公司</t>
        </is>
      </c>
      <c r="H17" s="37" t="inlineStr">
        <is>
          <t xml:space="preserve">           账户名:</t>
        </is>
      </c>
      <c r="N17" s="38" t="n"/>
    </row>
    <row r="18" ht="24.95" customHeight="1" s="42">
      <c r="A18" s="37" t="inlineStr">
        <is>
          <t>开户行：</t>
        </is>
      </c>
      <c r="B18" s="37" t="inlineStr">
        <is>
          <t>浦发银行天津自由贸易试验区分行营业部</t>
        </is>
      </c>
      <c r="H18" s="37" t="inlineStr">
        <is>
          <t xml:space="preserve">           开户行:</t>
        </is>
      </c>
      <c r="N18" s="38" t="n"/>
    </row>
    <row r="19" ht="24.95" customHeight="1" s="42">
      <c r="A19" s="37" t="inlineStr">
        <is>
          <t>账号：</t>
        </is>
      </c>
      <c r="B19" s="39" t="inlineStr">
        <is>
          <t>77510078801300000917</t>
        </is>
      </c>
      <c r="H19" s="37" t="inlineStr">
        <is>
          <t xml:space="preserve">           账号:</t>
        </is>
      </c>
      <c r="N19" s="38" t="n"/>
    </row>
    <row r="20" ht="24.95" customHeight="1" s="42">
      <c r="A20" s="37" t="inlineStr">
        <is>
          <t>联系人：</t>
        </is>
      </c>
      <c r="B20" s="37" t="inlineStr">
        <is>
          <t>尹广朋</t>
        </is>
      </c>
      <c r="H20" s="37" t="inlineStr">
        <is>
          <t xml:space="preserve">           联系人:</t>
        </is>
      </c>
      <c r="N20" s="38" t="n"/>
    </row>
    <row r="21" ht="24.95" customHeight="1" s="42">
      <c r="A21" s="37" t="inlineStr">
        <is>
          <t>联系电话：</t>
        </is>
      </c>
      <c r="B21" s="37" t="inlineStr">
        <is>
          <t>150 7561 1922</t>
        </is>
      </c>
      <c r="H21" s="37" t="inlineStr">
        <is>
          <t xml:space="preserve">           联系电话:</t>
        </is>
      </c>
      <c r="N21" s="38" t="n"/>
    </row>
  </sheetData>
  <mergeCells count="37">
    <mergeCell ref="H21:M21"/>
    <mergeCell ref="F11:G11"/>
    <mergeCell ref="N20:O20"/>
    <mergeCell ref="N16:O16"/>
    <mergeCell ref="B17:G17"/>
    <mergeCell ref="B8:M8"/>
    <mergeCell ref="H17:M17"/>
    <mergeCell ref="H16:M16"/>
    <mergeCell ref="B19:G19"/>
    <mergeCell ref="F12:G12"/>
    <mergeCell ref="N21:O21"/>
    <mergeCell ref="F15:G15"/>
    <mergeCell ref="H19:M19"/>
    <mergeCell ref="A9:M9"/>
    <mergeCell ref="N18:O18"/>
    <mergeCell ref="C11:C12"/>
    <mergeCell ref="N1:O1"/>
    <mergeCell ref="N17:O17"/>
    <mergeCell ref="B6:M6"/>
    <mergeCell ref="B20:G20"/>
    <mergeCell ref="A1:M1"/>
    <mergeCell ref="H18:M18"/>
    <mergeCell ref="N19:O19"/>
    <mergeCell ref="A10:A11"/>
    <mergeCell ref="E10:H10"/>
    <mergeCell ref="H20:M20"/>
    <mergeCell ref="E13:H13"/>
    <mergeCell ref="B16:G16"/>
    <mergeCell ref="N9:O9"/>
    <mergeCell ref="B7:M7"/>
    <mergeCell ref="B10:B12"/>
    <mergeCell ref="B13:B15"/>
    <mergeCell ref="B18:G18"/>
    <mergeCell ref="F14:G14"/>
    <mergeCell ref="B21:G21"/>
    <mergeCell ref="A2:M2"/>
    <mergeCell ref="C14:C15"/>
  </mergeCells>
  <pageMargins left="0.07847222222222219" right="0.07847222222222219" top="0.826388888888889" bottom="0.00347222222222222" header="1.25972222222222" footer="2.28333333333333"/>
  <pageSetup orientation="portrait" paperSize="9" scale="6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2021-05-20T09:27:00Z</dcterms:created>
  <dcterms:modified xmlns:dcterms="http://purl.org/dc/terms/" xmlns:xsi="http://www.w3.org/2001/XMLSchema-instance" xsi:type="dcterms:W3CDTF">2026-07-01T07:21:05Z</dcterms:modified>
  <cp:lastModifiedBy>Office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4D93BFA2CDA94BD7AA9DEEF0F862651F_13</vt:lpwstr>
  </property>
  <property name="KSOProductBuildVer" fmtid="{D5CDD505-2E9C-101B-9397-08002B2CF9AE}" pid="3">
    <vt:lpwstr xmlns:vt="http://schemas.openxmlformats.org/officeDocument/2006/docPropsVTypes">2052-12.1.0.26375</vt:lpwstr>
  </property>
  <property name="KSOReadingLayout" fmtid="{D5CDD505-2E9C-101B-9397-08002B2CF9AE}" pid="4">
    <vt:bool xmlns:vt="http://schemas.openxmlformats.org/officeDocument/2006/docPropsVTypes">1</vt:bool>
  </property>
  <property name="CalculationRule" fmtid="{D5CDD505-2E9C-101B-9397-08002B2CF9AE}" pid="5">
    <vt:i4 xmlns:vt="http://schemas.openxmlformats.org/officeDocument/2006/docPropsVTypes">0</vt:i4>
  </property>
</Properties>
</file>